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featurePropertyBag/featurePropertyBag.xml" ContentType="application/vnd.ms-excel.featurepropertyba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 hidePivotFieldList="1"/>
  <xr:revisionPtr revIDLastSave="0" documentId="8_{166533B5-3A9A-4D22-B740-A54FA016F9F2}" xr6:coauthVersionLast="47" xr6:coauthVersionMax="47" xr10:uidLastSave="{00000000-0000-0000-0000-000000000000}"/>
  <bookViews>
    <workbookView xWindow="240" yWindow="105" windowWidth="14805" windowHeight="8010" firstSheet="3" activeTab="3" xr2:uid="{00000000-000D-0000-FFFF-FFFF00000000}"/>
  </bookViews>
  <sheets>
    <sheet name="Planilha1" sheetId="3" r:id="rId1"/>
    <sheet name="Dados_Clientes" sheetId="1" r:id="rId2"/>
    <sheet name="Indicadores" sheetId="2" r:id="rId3"/>
    <sheet name="Dashboard" sheetId="4" r:id="rId4"/>
  </sheets>
  <calcPr calcId="191028"/>
  <pivotCaches>
    <pivotCache cacheId="598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4" l="1"/>
  <c r="I2" i="4"/>
  <c r="G2" i="4"/>
  <c r="B2" i="4"/>
  <c r="L2" i="4"/>
  <c r="E2" i="2"/>
  <c r="D2" i="2"/>
  <c r="B2" i="2"/>
  <c r="A2" i="2"/>
  <c r="C2" i="2" l="1"/>
</calcChain>
</file>

<file path=xl/sharedStrings.xml><?xml version="1.0" encoding="utf-8"?>
<sst xmlns="http://schemas.openxmlformats.org/spreadsheetml/2006/main" count="41" uniqueCount="30">
  <si>
    <t>Procedimento</t>
  </si>
  <si>
    <t>Contagem de Procedimento</t>
  </si>
  <si>
    <t>Depilação Laser</t>
  </si>
  <si>
    <t>Limpeza de Pele</t>
  </si>
  <si>
    <t>Peeling</t>
  </si>
  <si>
    <t>Total Geral</t>
  </si>
  <si>
    <t>Cliente</t>
  </si>
  <si>
    <t>Data</t>
  </si>
  <si>
    <t>Valor (R$)</t>
  </si>
  <si>
    <t>Retorno? (S/N)</t>
  </si>
  <si>
    <t>Ana</t>
  </si>
  <si>
    <t>S</t>
  </si>
  <si>
    <t>Bruna</t>
  </si>
  <si>
    <t>N</t>
  </si>
  <si>
    <t>Carla</t>
  </si>
  <si>
    <t>Daniela</t>
  </si>
  <si>
    <t>Elis</t>
  </si>
  <si>
    <t>13/08/2025</t>
  </si>
  <si>
    <t>Fernanda</t>
  </si>
  <si>
    <t>15/08/2025</t>
  </si>
  <si>
    <t>Total Faturados</t>
  </si>
  <si>
    <t>Quantidade de Clientes</t>
  </si>
  <si>
    <t xml:space="preserve">Ticket Médio </t>
  </si>
  <si>
    <t>Taxa de Retorno (%)</t>
  </si>
  <si>
    <t>Procedimento mais vendido</t>
  </si>
  <si>
    <t>FATURAMENTO TOTAL</t>
  </si>
  <si>
    <t>QTD DE CLEINTES</t>
  </si>
  <si>
    <t xml:space="preserve">TICKET MEDIO </t>
  </si>
  <si>
    <t>TAXA DE RETORNO %</t>
  </si>
  <si>
    <t>MAIS VENDIDO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</si>
</sst>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%"/>
  </numFmts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8" tint="-0.249977111117893"/>
      <name val="Aptos Narrow"/>
      <family val="2"/>
      <scheme val="minor"/>
    </font>
    <font>
      <b/>
      <sz val="16"/>
      <color theme="8" tint="-0.249977111117893"/>
      <name val="Aptos Narrow"/>
      <charset val="1"/>
    </font>
    <font>
      <b/>
      <sz val="20"/>
      <color theme="8" tint="0.3999755851924192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theme="8" tint="0.79998168889431442"/>
      </left>
      <right/>
      <top style="thin">
        <color theme="8" tint="0.79998168889431442"/>
      </top>
      <bottom/>
      <diagonal/>
    </border>
    <border>
      <left/>
      <right/>
      <top style="thin">
        <color theme="8" tint="0.79998168889431442"/>
      </top>
      <bottom/>
      <diagonal/>
    </border>
    <border>
      <left/>
      <right style="thin">
        <color theme="8" tint="0.79998168889431442"/>
      </right>
      <top style="thin">
        <color theme="8" tint="0.79998168889431442"/>
      </top>
      <bottom/>
      <diagonal/>
    </border>
    <border>
      <left style="thin">
        <color theme="8" tint="0.79998168889431442"/>
      </left>
      <right/>
      <top/>
      <bottom/>
      <diagonal/>
    </border>
    <border>
      <left/>
      <right style="thin">
        <color theme="8" tint="0.79998168889431442"/>
      </right>
      <top/>
      <bottom/>
      <diagonal/>
    </border>
    <border>
      <left style="thin">
        <color theme="8" tint="0.79998168889431442"/>
      </left>
      <right/>
      <top/>
      <bottom style="thin">
        <color theme="8" tint="0.79998168889431442"/>
      </bottom>
      <diagonal/>
    </border>
    <border>
      <left/>
      <right/>
      <top/>
      <bottom style="thin">
        <color theme="8" tint="0.79998168889431442"/>
      </bottom>
      <diagonal/>
    </border>
    <border>
      <left/>
      <right style="thin">
        <color theme="8" tint="0.79998168889431442"/>
      </right>
      <top/>
      <bottom style="thin">
        <color theme="8" tint="0.79998168889431442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14" fontId="0" fillId="0" borderId="0" xfId="0" applyNumberFormat="1"/>
    <xf numFmtId="49" fontId="1" fillId="0" borderId="0" xfId="0" applyNumberFormat="1" applyFont="1"/>
    <xf numFmtId="49" fontId="0" fillId="0" borderId="0" xfId="0" applyNumberFormat="1"/>
    <xf numFmtId="0" fontId="0" fillId="0" borderId="0" xfId="0" pivotButton="1"/>
    <xf numFmtId="0" fontId="0" fillId="0" borderId="0" xfId="0" quotePrefix="1" applyAlignment="1">
      <alignment wrapText="1"/>
    </xf>
    <xf numFmtId="0" fontId="2" fillId="0" borderId="0" xfId="0" applyFont="1"/>
    <xf numFmtId="0" fontId="4" fillId="2" borderId="0" xfId="0" applyFont="1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2" borderId="0" xfId="0" applyFont="1" applyFill="1" applyBorder="1" applyAlignment="1">
      <alignment horizontal="center"/>
    </xf>
    <xf numFmtId="2" fontId="0" fillId="0" borderId="0" xfId="0" applyNumberFormat="1"/>
    <xf numFmtId="165" fontId="0" fillId="0" borderId="0" xfId="0" applyNumberFormat="1"/>
    <xf numFmtId="165" fontId="0" fillId="0" borderId="0" xfId="0" applyNumberFormat="1" applyAlignment="1">
      <alignment wrapText="1"/>
    </xf>
    <xf numFmtId="0" fontId="2" fillId="0" borderId="2" xfId="0" applyFont="1" applyBorder="1" applyAlignment="1">
      <alignment horizontal="center"/>
    </xf>
    <xf numFmtId="165" fontId="4" fillId="2" borderId="0" xfId="0" applyNumberFormat="1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4" fillId="2" borderId="4" xfId="0" applyFont="1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2" borderId="5" xfId="0" applyFont="1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2" fontId="4" fillId="2" borderId="5" xfId="0" applyNumberFormat="1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165" fontId="4" fillId="2" borderId="5" xfId="0" applyNumberFormat="1" applyFont="1" applyFill="1" applyBorder="1" applyAlignment="1">
      <alignment horizontal="center"/>
    </xf>
    <xf numFmtId="0" fontId="0" fillId="0" borderId="6" xfId="0" applyBorder="1"/>
    <xf numFmtId="0" fontId="4" fillId="2" borderId="7" xfId="0" applyFont="1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8" xfId="0" applyBorder="1"/>
    <xf numFmtId="0" fontId="4" fillId="2" borderId="9" xfId="0" applyFont="1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2" borderId="10" xfId="0" applyFont="1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2" borderId="10" xfId="0" applyFont="1" applyFill="1" applyBorder="1" applyAlignment="1">
      <alignment horizontal="center"/>
    </xf>
    <xf numFmtId="165" fontId="4" fillId="2" borderId="10" xfId="0" applyNumberFormat="1" applyFont="1" applyFill="1" applyBorder="1" applyAlignment="1">
      <alignment horizontal="center"/>
    </xf>
    <xf numFmtId="0" fontId="0" fillId="0" borderId="11" xfId="0" applyBorder="1"/>
    <xf numFmtId="0" fontId="3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11" xfId="0" applyFont="1" applyFill="1" applyBorder="1" applyAlignment="1">
      <alignment horizontal="center"/>
    </xf>
    <xf numFmtId="165" fontId="4" fillId="2" borderId="4" xfId="0" applyNumberFormat="1" applyFont="1" applyFill="1" applyBorder="1" applyAlignment="1">
      <alignment horizontal="center"/>
    </xf>
    <xf numFmtId="165" fontId="4" fillId="2" borderId="6" xfId="0" applyNumberFormat="1" applyFont="1" applyFill="1" applyBorder="1" applyAlignment="1">
      <alignment horizontal="center"/>
    </xf>
    <xf numFmtId="165" fontId="4" fillId="2" borderId="7" xfId="0" applyNumberFormat="1" applyFont="1" applyFill="1" applyBorder="1" applyAlignment="1">
      <alignment horizontal="center"/>
    </xf>
    <xf numFmtId="165" fontId="4" fillId="2" borderId="8" xfId="0" applyNumberFormat="1" applyFont="1" applyFill="1" applyBorder="1" applyAlignment="1">
      <alignment horizontal="center"/>
    </xf>
    <xf numFmtId="165" fontId="4" fillId="2" borderId="9" xfId="0" applyNumberFormat="1" applyFont="1" applyFill="1" applyBorder="1" applyAlignment="1">
      <alignment horizontal="center"/>
    </xf>
    <xf numFmtId="165" fontId="4" fillId="2" borderId="11" xfId="0" applyNumberFormat="1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0D0D0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22/11/relationships/FeaturePropertyBag" Target="featurePropertyBag/featurePropertyBag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[Dados_Clientes.xlsx]Planilha1!Tabela dinâmica1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78217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PROCEDIMENTO MAIS VENDIDO</a:t>
            </a:r>
          </a:p>
        </c:rich>
      </c:tx>
      <c:overlay val="0"/>
      <c:spPr>
        <a:solidFill>
          <a:srgbClr val="F2CEEF"/>
        </a:solidFill>
        <a:ln>
          <a:solidFill>
            <a:srgbClr val="51154A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78217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D86DCD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86DCD"/>
            </a:solidFill>
            <a:ln>
              <a:noFill/>
            </a:ln>
            <a:effectLst/>
          </c:spPr>
          <c:invertIfNegative val="0"/>
          <c:cat>
            <c:strRef>
              <c:f>Planilha1!$A$4:$A$7</c:f>
              <c:strCache>
                <c:ptCount val="3"/>
                <c:pt idx="0">
                  <c:v>Depilação Laser</c:v>
                </c:pt>
                <c:pt idx="1">
                  <c:v>Limpeza de Pele</c:v>
                </c:pt>
                <c:pt idx="2">
                  <c:v>Peeling</c:v>
                </c:pt>
              </c:strCache>
            </c:strRef>
          </c:cat>
          <c:val>
            <c:numRef>
              <c:f>Planilha1!$B$4:$B$7</c:f>
              <c:numCache>
                <c:formatCode>General</c:formatCode>
                <c:ptCount val="3"/>
                <c:pt idx="0">
                  <c:v>3</c:v>
                </c:pt>
                <c:pt idx="1">
                  <c:v>1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E7-4B39-95D8-466CC74B02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861051911"/>
        <c:axId val="1861053959"/>
      </c:barChart>
      <c:catAx>
        <c:axId val="1861051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1053959"/>
        <c:crosses val="autoZero"/>
        <c:auto val="1"/>
        <c:lblAlgn val="ctr"/>
        <c:lblOffset val="100"/>
        <c:noMultiLvlLbl val="0"/>
      </c:catAx>
      <c:valAx>
        <c:axId val="1861053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1051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51154A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51154A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FATURAMENTO AO LONGO DO TEMPO</a:t>
            </a:r>
          </a:p>
        </c:rich>
      </c:tx>
      <c:overlay val="0"/>
      <c:spPr>
        <a:solidFill>
          <a:srgbClr val="F2CEEF"/>
        </a:solidFill>
        <a:ln>
          <a:solidFill>
            <a:srgbClr val="D86DCD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51154A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Dados_Clientes!$D$1</c:f>
              <c:strCache>
                <c:ptCount val="1"/>
                <c:pt idx="0">
                  <c:v>Valor (R$)</c:v>
                </c:pt>
              </c:strCache>
            </c:strRef>
          </c:tx>
          <c:spPr>
            <a:ln w="28575" cap="rnd">
              <a:solidFill>
                <a:srgbClr val="E49EDD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Dados_Clientes!$B$2:$B$7</c:f>
              <c:strCache>
                <c:ptCount val="6"/>
                <c:pt idx="0">
                  <c:v>3/8/2025</c:v>
                </c:pt>
                <c:pt idx="1">
                  <c:v>5/8/2025</c:v>
                </c:pt>
                <c:pt idx="2">
                  <c:v>8/8/2025</c:v>
                </c:pt>
                <c:pt idx="3">
                  <c:v>10/8/2025</c:v>
                </c:pt>
                <c:pt idx="4">
                  <c:v>13/08/2025</c:v>
                </c:pt>
                <c:pt idx="5">
                  <c:v>15/08/2025</c:v>
                </c:pt>
              </c:strCache>
            </c:strRef>
          </c:cat>
          <c:val>
            <c:numRef>
              <c:f>Dados_Clientes!$D$2:$D$7</c:f>
              <c:numCache>
                <c:formatCode>General</c:formatCode>
                <c:ptCount val="6"/>
                <c:pt idx="0">
                  <c:v>150</c:v>
                </c:pt>
                <c:pt idx="1">
                  <c:v>220</c:v>
                </c:pt>
                <c:pt idx="2">
                  <c:v>150</c:v>
                </c:pt>
                <c:pt idx="3">
                  <c:v>180</c:v>
                </c:pt>
                <c:pt idx="4">
                  <c:v>150</c:v>
                </c:pt>
                <c:pt idx="5">
                  <c:v>220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F2-4A03-BBB0-27160C881D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31545607"/>
        <c:axId val="2131547655"/>
      </c:lineChart>
      <c:catAx>
        <c:axId val="2131545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1547655"/>
        <c:crosses val="autoZero"/>
        <c:auto val="1"/>
        <c:lblAlgn val="ctr"/>
        <c:lblOffset val="100"/>
        <c:noMultiLvlLbl val="0"/>
      </c:catAx>
      <c:valAx>
        <c:axId val="2131547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1545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rgbClr val="F2CEEF"/>
        </a:solidFill>
        <a:ln>
          <a:solidFill>
            <a:srgbClr val="F2CEEF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51154A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4</xdr:row>
      <xdr:rowOff>161925</xdr:rowOff>
    </xdr:from>
    <xdr:to>
      <xdr:col>6</xdr:col>
      <xdr:colOff>857250</xdr:colOff>
      <xdr:row>18</xdr:row>
      <xdr:rowOff>161925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311BB9B-7586-47FF-B0D3-514022245D1D}"/>
            </a:ext>
            <a:ext uri="{147F2762-F138-4A5C-976F-8EAC2B608ADB}">
              <a16:predDERef xmlns:a16="http://schemas.microsoft.com/office/drawing/2014/main" pred="{66F4C858-A15F-0DC8-C2D1-D2EBC579DF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923925</xdr:colOff>
      <xdr:row>4</xdr:row>
      <xdr:rowOff>161925</xdr:rowOff>
    </xdr:from>
    <xdr:to>
      <xdr:col>14</xdr:col>
      <xdr:colOff>0</xdr:colOff>
      <xdr:row>19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BE76EB7-C4E8-486B-83F9-601088601FF8}"/>
            </a:ext>
            <a:ext uri="{147F2762-F138-4A5C-976F-8EAC2B608ADB}">
              <a16:predDERef xmlns:a16="http://schemas.microsoft.com/office/drawing/2014/main" pred="{5311BB9B-7586-47FF-B0D3-514022245D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71.611363310185" createdVersion="8" refreshedVersion="8" minRefreshableVersion="3" recordCount="6" xr:uid="{25D6813B-FEFD-45EB-9843-0A4601AA0D49}">
  <cacheSource type="worksheet">
    <worksheetSource ref="A1:E7" sheet="Dados_Clientes"/>
  </cacheSource>
  <cacheFields count="5">
    <cacheField name="Cliente" numFmtId="0">
      <sharedItems/>
    </cacheField>
    <cacheField name="Data" numFmtId="0">
      <sharedItems containsDate="1" containsMixedTypes="1" minDate="2025-03-08T00:00:00" maxDate="2025-10-09T00:00:00"/>
    </cacheField>
    <cacheField name="Procedimento" numFmtId="0">
      <sharedItems count="3">
        <s v="Depilação Laser"/>
        <s v="Peeling"/>
        <s v="Limpeza de Pele"/>
      </sharedItems>
    </cacheField>
    <cacheField name="Valor (R$)" numFmtId="0">
      <sharedItems containsSemiMixedTypes="0" containsString="0" containsNumber="1" containsInteger="1" minValue="150" maxValue="220"/>
    </cacheField>
    <cacheField name="Retorno? (S/N)" numFmtId="49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s v="Ana"/>
    <d v="2025-03-08T00:00:00"/>
    <x v="0"/>
    <n v="150"/>
    <s v="S"/>
  </r>
  <r>
    <s v="Bruna"/>
    <d v="2025-05-08T00:00:00"/>
    <x v="1"/>
    <n v="220"/>
    <s v="N"/>
  </r>
  <r>
    <s v="Carla"/>
    <d v="2025-08-08T00:00:00"/>
    <x v="0"/>
    <n v="150"/>
    <s v="S"/>
  </r>
  <r>
    <s v="Daniela"/>
    <d v="2025-10-08T00:00:00"/>
    <x v="2"/>
    <n v="180"/>
    <s v="S"/>
  </r>
  <r>
    <s v="Elis"/>
    <s v="13/08/2025"/>
    <x v="0"/>
    <n v="150"/>
    <s v="N"/>
  </r>
  <r>
    <s v="Fernanda"/>
    <s v="15/08/2025"/>
    <x v="1"/>
    <n v="220"/>
    <s v="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10FC01-7169-4453-B6C1-C4C281C9F469}" name="Tabela dinâmica1" cacheId="598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6">
  <location ref="A3:B7" firstHeaderRow="1" firstDataRow="1" firstDataCol="1"/>
  <pivotFields count="5">
    <pivotField compact="0" outline="0" showAll="0"/>
    <pivotField compact="0" outline="0" showAll="0"/>
    <pivotField axis="axisRow" dataField="1" compact="0" outline="0" showAll="0" sortType="ascending">
      <items count="4">
        <item x="0"/>
        <item x="2"/>
        <item x="1"/>
        <item t="default"/>
      </items>
    </pivotField>
    <pivotField compact="0" outline="0" showAll="0"/>
    <pivotField compact="0" outline="0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ntagem de Procedimento" fld="2" subtotal="count" baseField="0" baseItem="0"/>
  </dataFields>
  <chartFormats count="4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EE188-960F-423F-A0E0-571019EFB869}">
  <dimension ref="A3:B7"/>
  <sheetViews>
    <sheetView workbookViewId="0">
      <selection activeCell="G10" sqref="G10"/>
    </sheetView>
  </sheetViews>
  <sheetFormatPr defaultRowHeight="15"/>
  <cols>
    <col min="1" max="1" width="17" customWidth="1"/>
    <col min="2" max="2" width="26.42578125" bestFit="1" customWidth="1"/>
  </cols>
  <sheetData>
    <row r="3" spans="1:2">
      <c r="A3" s="5" t="s">
        <v>0</v>
      </c>
      <c r="B3" t="s">
        <v>1</v>
      </c>
    </row>
    <row r="4" spans="1:2">
      <c r="A4" t="s">
        <v>2</v>
      </c>
      <c r="B4">
        <v>3</v>
      </c>
    </row>
    <row r="5" spans="1:2">
      <c r="A5" t="s">
        <v>3</v>
      </c>
      <c r="B5">
        <v>1</v>
      </c>
    </row>
    <row r="6" spans="1:2">
      <c r="A6" t="s">
        <v>4</v>
      </c>
      <c r="B6">
        <v>2</v>
      </c>
    </row>
    <row r="7" spans="1:2">
      <c r="A7" t="s">
        <v>5</v>
      </c>
      <c r="B7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workbookViewId="0">
      <selection activeCell="D8" sqref="D8"/>
    </sheetView>
  </sheetViews>
  <sheetFormatPr defaultRowHeight="15"/>
  <cols>
    <col min="2" max="2" width="11.85546875" customWidth="1"/>
    <col min="3" max="3" width="17.7109375" customWidth="1"/>
    <col min="4" max="4" width="10.28515625" customWidth="1"/>
    <col min="5" max="5" width="13.5703125" style="4" customWidth="1"/>
  </cols>
  <sheetData>
    <row r="1" spans="1:5">
      <c r="A1" s="1" t="s">
        <v>6</v>
      </c>
      <c r="B1" s="1" t="s">
        <v>7</v>
      </c>
      <c r="C1" s="1" t="s">
        <v>0</v>
      </c>
      <c r="D1" s="1" t="s">
        <v>8</v>
      </c>
      <c r="E1" s="3" t="s">
        <v>9</v>
      </c>
    </row>
    <row r="2" spans="1:5">
      <c r="A2" t="s">
        <v>10</v>
      </c>
      <c r="B2" s="2">
        <v>45724</v>
      </c>
      <c r="C2" t="s">
        <v>2</v>
      </c>
      <c r="D2">
        <v>150</v>
      </c>
      <c r="E2" s="4" t="s">
        <v>11</v>
      </c>
    </row>
    <row r="3" spans="1:5">
      <c r="A3" t="s">
        <v>12</v>
      </c>
      <c r="B3" s="2">
        <v>45785</v>
      </c>
      <c r="C3" t="s">
        <v>4</v>
      </c>
      <c r="D3">
        <v>220</v>
      </c>
      <c r="E3" s="4" t="s">
        <v>13</v>
      </c>
    </row>
    <row r="4" spans="1:5">
      <c r="A4" t="s">
        <v>14</v>
      </c>
      <c r="B4" s="2">
        <v>45877</v>
      </c>
      <c r="C4" t="s">
        <v>2</v>
      </c>
      <c r="D4">
        <v>150</v>
      </c>
      <c r="E4" s="4" t="s">
        <v>11</v>
      </c>
    </row>
    <row r="5" spans="1:5">
      <c r="A5" t="s">
        <v>15</v>
      </c>
      <c r="B5" s="2">
        <v>45938</v>
      </c>
      <c r="C5" t="s">
        <v>3</v>
      </c>
      <c r="D5">
        <v>180</v>
      </c>
      <c r="E5" s="4" t="s">
        <v>11</v>
      </c>
    </row>
    <row r="6" spans="1:5">
      <c r="A6" t="s">
        <v>16</v>
      </c>
      <c r="B6" t="s">
        <v>17</v>
      </c>
      <c r="C6" t="s">
        <v>2</v>
      </c>
      <c r="D6">
        <v>150</v>
      </c>
      <c r="E6" s="4" t="s">
        <v>13</v>
      </c>
    </row>
    <row r="7" spans="1:5">
      <c r="A7" t="s">
        <v>18</v>
      </c>
      <c r="B7" t="s">
        <v>19</v>
      </c>
      <c r="C7" t="s">
        <v>4</v>
      </c>
      <c r="D7">
        <v>220</v>
      </c>
      <c r="E7" s="4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31A52-4D35-43A4-B3A8-0D65C396D576}">
  <dimension ref="A1:E2"/>
  <sheetViews>
    <sheetView topLeftCell="B1" workbookViewId="0">
      <selection activeCell="D2" sqref="D2"/>
    </sheetView>
  </sheetViews>
  <sheetFormatPr defaultRowHeight="15"/>
  <cols>
    <col min="1" max="1" width="15.7109375" customWidth="1"/>
    <col min="2" max="2" width="22" customWidth="1"/>
    <col min="3" max="3" width="17" style="10" customWidth="1"/>
    <col min="4" max="4" width="35.85546875" style="11" customWidth="1"/>
    <col min="5" max="6" width="37" customWidth="1"/>
  </cols>
  <sheetData>
    <row r="1" spans="1:5">
      <c r="A1" t="s">
        <v>20</v>
      </c>
      <c r="B1" t="s">
        <v>21</v>
      </c>
      <c r="C1" s="10" t="s">
        <v>22</v>
      </c>
      <c r="D1" s="11" t="s">
        <v>23</v>
      </c>
      <c r="E1" t="s">
        <v>24</v>
      </c>
    </row>
    <row r="2" spans="1:5">
      <c r="A2">
        <f xml:space="preserve"> SUM(Dados_Clientes!D:D)</f>
        <v>1070</v>
      </c>
      <c r="B2">
        <f xml:space="preserve"> COUNTA(Dados_Clientes!A:A)</f>
        <v>7</v>
      </c>
      <c r="C2" s="10">
        <f xml:space="preserve"> Indicadores!A2 / Indicadores!B2</f>
        <v>152.85714285714286</v>
      </c>
      <c r="D2" s="12">
        <f>IFERROR(COUNTIF(Dados_Clientes!E:E,"S")/COUNTA(Dados_Clientes!E:E), 0)</f>
        <v>0.5714285714285714</v>
      </c>
      <c r="E2" s="6" t="str">
        <f>Planilha1!A4</f>
        <v>Depilação Laser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E1272-42AA-4383-8D11-47672F33537A}">
  <dimension ref="A1:O4"/>
  <sheetViews>
    <sheetView tabSelected="1" workbookViewId="0">
      <selection activeCell="O1" sqref="O1:O19"/>
    </sheetView>
  </sheetViews>
  <sheetFormatPr defaultRowHeight="15"/>
  <cols>
    <col min="6" max="6" width="14.28515625" customWidth="1"/>
    <col min="7" max="7" width="15.85546875" customWidth="1"/>
  </cols>
  <sheetData>
    <row r="1" spans="1:15" s="7" customFormat="1" ht="30" customHeight="1">
      <c r="B1" s="29" t="s">
        <v>25</v>
      </c>
      <c r="C1" s="15"/>
      <c r="D1" s="15"/>
      <c r="E1" s="15" t="s">
        <v>26</v>
      </c>
      <c r="F1" s="15"/>
      <c r="G1" s="13" t="s">
        <v>27</v>
      </c>
      <c r="H1" s="13"/>
      <c r="I1" s="13" t="s">
        <v>28</v>
      </c>
      <c r="J1" s="13"/>
      <c r="K1" s="13"/>
      <c r="L1" s="13" t="s">
        <v>29</v>
      </c>
      <c r="M1" s="13"/>
      <c r="N1" s="30"/>
    </row>
    <row r="2" spans="1:15" ht="15" customHeight="1">
      <c r="A2" s="1"/>
      <c r="B2" s="16">
        <f>Indicadores!A2</f>
        <v>1070</v>
      </c>
      <c r="C2" s="17"/>
      <c r="D2" s="17"/>
      <c r="E2" s="40">
        <f>Indicadores!B2</f>
        <v>7</v>
      </c>
      <c r="F2" s="31"/>
      <c r="G2" s="18">
        <f>Indicadores!C2</f>
        <v>152.85714285714286</v>
      </c>
      <c r="H2" s="19"/>
      <c r="I2" s="34">
        <f>Indicadores!D2</f>
        <v>0.5714285714285714</v>
      </c>
      <c r="J2" s="20"/>
      <c r="K2" s="35"/>
      <c r="L2" s="19" t="str">
        <f>Indicadores!E2</f>
        <v>Depilação Laser</v>
      </c>
      <c r="M2" s="19"/>
      <c r="N2" s="31"/>
      <c r="O2" s="21"/>
    </row>
    <row r="3" spans="1:15" ht="15" customHeight="1">
      <c r="A3" s="1"/>
      <c r="B3" s="22"/>
      <c r="C3" s="8"/>
      <c r="D3" s="8"/>
      <c r="E3" s="41"/>
      <c r="F3" s="32"/>
      <c r="G3" s="9"/>
      <c r="H3" s="9"/>
      <c r="I3" s="36"/>
      <c r="J3" s="14"/>
      <c r="K3" s="37"/>
      <c r="L3" s="9"/>
      <c r="M3" s="9"/>
      <c r="N3" s="32"/>
      <c r="O3" s="23"/>
    </row>
    <row r="4" spans="1:15" ht="15" customHeight="1">
      <c r="A4" s="1"/>
      <c r="B4" s="24"/>
      <c r="C4" s="25"/>
      <c r="D4" s="25"/>
      <c r="E4" s="42"/>
      <c r="F4" s="33"/>
      <c r="G4" s="26"/>
      <c r="H4" s="26"/>
      <c r="I4" s="38"/>
      <c r="J4" s="27"/>
      <c r="K4" s="39"/>
      <c r="L4" s="26"/>
      <c r="M4" s="26"/>
      <c r="N4" s="33"/>
      <c r="O4" s="28"/>
    </row>
  </sheetData>
  <mergeCells count="10">
    <mergeCell ref="B2:D4"/>
    <mergeCell ref="E2:F4"/>
    <mergeCell ref="G2:H4"/>
    <mergeCell ref="I2:K4"/>
    <mergeCell ref="L2:N4"/>
    <mergeCell ref="B1:D1"/>
    <mergeCell ref="E1:F1"/>
    <mergeCell ref="G1:H1"/>
    <mergeCell ref="I1:K1"/>
    <mergeCell ref="L1:N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2025-11-10T16:41:08Z</dcterms:created>
  <dcterms:modified xsi:type="dcterms:W3CDTF">2025-11-10T23:42:22Z</dcterms:modified>
  <cp:category/>
  <cp:contentStatus/>
</cp:coreProperties>
</file>